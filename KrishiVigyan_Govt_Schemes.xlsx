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chemes" sheetId="1" state="visible" r:id="rId1"/>
    <sheet xmlns:r="http://schemas.openxmlformats.org/officeDocument/2006/relationships" name="Quick Reference (KrishiVigyan)" sheetId="2" state="visible" r:id="rId2"/>
    <sheet xmlns:r="http://schemas.openxmlformats.org/officeDocument/2006/relationships" name="PMFBY Premium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D6D7E"/>
      <sz val="8"/>
    </font>
    <font>
      <name val="Arial"/>
      <b val="1"/>
      <color rgb="00FFFFFF"/>
      <sz val="9"/>
    </font>
    <font>
      <name val="Arial"/>
      <color rgb="001C2833"/>
      <sz val="9"/>
    </font>
    <font>
      <name val="Arial"/>
      <b val="1"/>
      <color rgb="007B241C"/>
      <sz val="9"/>
    </font>
    <font>
      <name val="Arial"/>
      <b val="1"/>
      <color rgb="00FFFFFF"/>
      <sz val="12"/>
    </font>
    <font>
      <name val="Arial"/>
      <b val="1"/>
      <color rgb="001E8449"/>
      <sz val="9"/>
    </font>
    <font>
      <name val="Arial"/>
      <b val="1"/>
      <color rgb="00B7950B"/>
      <sz val="9"/>
    </font>
    <font>
      <name val="Arial"/>
      <b val="1"/>
      <color rgb="00922B21"/>
      <sz val="9"/>
    </font>
  </fonts>
  <fills count="6">
    <fill>
      <patternFill/>
    </fill>
    <fill>
      <patternFill patternType="gray125"/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EAF2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14" customWidth="1" min="4" max="4"/>
    <col width="42" customWidth="1" min="5" max="5"/>
    <col width="40" customWidth="1" min="6" max="6"/>
    <col width="58" customWidth="1" min="7" max="7"/>
    <col width="18" customWidth="1" min="8" max="8"/>
    <col width="38" customWidth="1" min="9" max="9"/>
    <col width="16" customWidth="1" min="10" max="10"/>
    <col width="28" customWidth="1" min="11" max="11"/>
    <col width="45" customWidth="1" min="12" max="12"/>
    <col width="32" customWidth="1" min="13" max="13"/>
    <col width="45" customWidth="1" min="14" max="14"/>
  </cols>
  <sheetData>
    <row r="1" ht="28" customHeight="1">
      <c r="A1" s="1" t="inlineStr">
        <is>
          <t>Indian Government Agricultural Schemes — KrishiVigyan AI Reference Database</t>
        </is>
      </c>
    </row>
    <row r="2" ht="16" customHeight="1">
      <c r="A2" s="2" t="inlineStr">
        <is>
          <t>Source: pmkisan.gov.in | pmfby.gov.in | agriwelfare.gov.in | myscheme.gov.in   |   Data verified May 2025</t>
        </is>
      </c>
    </row>
    <row r="3" ht="36" customHeight="1">
      <c r="A3" s="3" t="inlineStr">
        <is>
          <t>Scheme Name</t>
        </is>
      </c>
      <c r="B3" s="3" t="inlineStr">
        <is>
          <t>Full Name</t>
        </is>
      </c>
      <c r="C3" s="3" t="inlineStr">
        <is>
          <t>Category</t>
        </is>
      </c>
      <c r="D3" s="3" t="inlineStr">
        <is>
          <t>Launched</t>
        </is>
      </c>
      <c r="E3" s="3" t="inlineStr">
        <is>
          <t>Benefit / Amount</t>
        </is>
      </c>
      <c r="F3" s="3" t="inlineStr">
        <is>
          <t>Premium / Contribution</t>
        </is>
      </c>
      <c r="G3" s="3" t="inlineStr">
        <is>
          <t>Eligibility</t>
        </is>
      </c>
      <c r="H3" s="3" t="inlineStr">
        <is>
          <t>Land Limit</t>
        </is>
      </c>
      <c r="I3" s="3" t="inlineStr">
        <is>
          <t>Crops Covered</t>
        </is>
      </c>
      <c r="J3" s="3" t="inlineStr">
        <is>
          <t>Season</t>
        </is>
      </c>
      <c r="K3" s="3" t="inlineStr">
        <is>
          <t>Enrollment Deadline</t>
        </is>
      </c>
      <c r="L3" s="3" t="inlineStr">
        <is>
          <t>How to Apply</t>
        </is>
      </c>
      <c r="M3" s="3" t="inlineStr">
        <is>
          <t>Official Portal</t>
        </is>
      </c>
      <c r="N3" s="3" t="inlineStr">
        <is>
          <t>Source Reference</t>
        </is>
      </c>
    </row>
    <row r="4" ht="70" customHeight="1">
      <c r="A4" s="4" t="inlineStr">
        <is>
          <t>PM-KISAN</t>
        </is>
      </c>
      <c r="B4" s="4" t="inlineStr">
        <is>
          <t>Pradhan Mantri Kisan Samman Nidhi</t>
        </is>
      </c>
      <c r="C4" s="5" t="inlineStr">
        <is>
          <t>Income Support</t>
        </is>
      </c>
      <c r="D4" s="4" t="inlineStr">
        <is>
          <t>Feb 2019</t>
        </is>
      </c>
      <c r="E4" s="4" t="inlineStr">
        <is>
          <t>₹6,000/year in 3 installments of ₹2,000 via DBT</t>
        </is>
      </c>
      <c r="F4" s="4" t="inlineStr">
        <is>
          <t>None (fully funded by Govt of India)</t>
        </is>
      </c>
      <c r="G4" s="4" t="inlineStr">
        <is>
          <t>All landholding farmers; excludes institutional landholders, taxpayers, Govt employees, pensioners &gt;₹10k/month</t>
        </is>
      </c>
      <c r="H4" s="4" t="inlineStr">
        <is>
          <t>No limit (all landholding farmers)</t>
        </is>
      </c>
      <c r="I4" s="4" t="inlineStr">
        <is>
          <t>All crops</t>
        </is>
      </c>
      <c r="J4" s="4" t="inlineStr">
        <is>
          <t>Year-round (installments: Apr-Jul, Aug-Nov, Dec-Mar)</t>
        </is>
      </c>
      <c r="K4" s="4" t="inlineStr">
        <is>
          <t>Open year-round; e-KYC mandatory</t>
        </is>
      </c>
      <c r="L4" s="4" t="inlineStr">
        <is>
          <t>pmkisan.gov.in → Farmer Corner; or nearest CSC</t>
        </is>
      </c>
      <c r="M4" s="4" t="inlineStr">
        <is>
          <t>pmkisan.gov.in</t>
        </is>
      </c>
      <c r="N4" s="4" t="inlineStr">
        <is>
          <t>agriwelfare.gov.in/FarmersWelDiv</t>
        </is>
      </c>
    </row>
    <row r="5" ht="70" customHeight="1">
      <c r="A5" s="6" t="inlineStr">
        <is>
          <t>PMFBY</t>
        </is>
      </c>
      <c r="B5" s="6" t="inlineStr">
        <is>
          <t>Pradhan Mantri Fasal Bima Yojana</t>
        </is>
      </c>
      <c r="C5" s="7" t="inlineStr">
        <is>
          <t>Crop Insurance</t>
        </is>
      </c>
      <c r="D5" s="6" t="inlineStr">
        <is>
          <t>Feb 2016</t>
        </is>
      </c>
      <c r="E5" s="6" t="inlineStr">
        <is>
          <t>Full yield-loss coverage; claim settled within 60 days via DBT</t>
        </is>
      </c>
      <c r="F5" s="6" t="inlineStr">
        <is>
          <t>2% of SI for Kharif; 1.5% for Rabi; 5% for commercial/horticulture crops. Govt pays balance.</t>
        </is>
      </c>
      <c r="G5" s="6" t="inlineStr">
        <is>
          <t>All farmers (owner, tenant, sharecropper) growing notified crops in notified areas; Aadhaar + bank account required</t>
        </is>
      </c>
      <c r="H5" s="6" t="inlineStr">
        <is>
          <t>No land limit</t>
        </is>
      </c>
      <c r="I5" s="6" t="inlineStr">
        <is>
          <t>Kharif food &amp; oilseeds, Rabi food &amp; oilseeds, commercial &amp; horticultural crops</t>
        </is>
      </c>
      <c r="J5" s="6" t="inlineStr">
        <is>
          <t>Kharif &amp; Rabi</t>
        </is>
      </c>
      <c r="K5" s="6" t="inlineStr">
        <is>
          <t>Kharif: 31 July | Rabi: 31 December</t>
        </is>
      </c>
      <c r="L5" s="6" t="inlineStr">
        <is>
          <t>pmfby.gov.in → Farmer Corner; or bank branch / CSC / UMANG app</t>
        </is>
      </c>
      <c r="M5" s="6" t="inlineStr">
        <is>
          <t>pmfby.gov.in</t>
        </is>
      </c>
      <c r="N5" s="6" t="inlineStr">
        <is>
          <t>pib.gov.in (PMFBY turns Nine, 2025)</t>
        </is>
      </c>
    </row>
    <row r="6" ht="70" customHeight="1">
      <c r="A6" s="4" t="inlineStr">
        <is>
          <t>RWBCIS</t>
        </is>
      </c>
      <c r="B6" s="4" t="inlineStr">
        <is>
          <t>Restructured Weather Based Crop Insurance Scheme</t>
        </is>
      </c>
      <c r="C6" s="5" t="inlineStr">
        <is>
          <t>Crop Insurance</t>
        </is>
      </c>
      <c r="D6" s="4" t="inlineStr">
        <is>
          <t>2016</t>
        </is>
      </c>
      <c r="E6" s="4" t="inlineStr">
        <is>
          <t>Weather index-based payout for losses due to rainfall, temperature, wind, humidity deviations</t>
        </is>
      </c>
      <c r="F6" s="4" t="inlineStr">
        <is>
          <t>Same as PMFBY (2% Kharif / 1.5% Rabi / 5% commercial)</t>
        </is>
      </c>
      <c r="G6" s="4" t="inlineStr">
        <is>
          <t>All farmers (loanee &amp; non-loanee) growing notified crops in notified areas</t>
        </is>
      </c>
      <c r="H6" s="4" t="inlineStr">
        <is>
          <t>No land limit</t>
        </is>
      </c>
      <c r="I6" s="4" t="inlineStr">
        <is>
          <t>Food crops, oilseeds, commercial &amp; horticultural crops</t>
        </is>
      </c>
      <c r="J6" s="4" t="inlineStr">
        <is>
          <t>Kharif &amp; Rabi</t>
        </is>
      </c>
      <c r="K6" s="4" t="inlineStr">
        <is>
          <t>Kharif: 31 July | Rabi: 31 December</t>
        </is>
      </c>
      <c r="L6" s="4" t="inlineStr">
        <is>
          <t>pmfby.gov.in (same portal as PMFBY) / bank branches / CSC</t>
        </is>
      </c>
      <c r="M6" s="4" t="inlineStr">
        <is>
          <t>pmfby.gov.in</t>
        </is>
      </c>
      <c r="N6" s="4" t="inlineStr">
        <is>
          <t>vajiramandravi.com PMFBY-RWBCIS 2025</t>
        </is>
      </c>
    </row>
    <row r="7" ht="70" customHeight="1">
      <c r="A7" s="6" t="inlineStr">
        <is>
          <t>KCC</t>
        </is>
      </c>
      <c r="B7" s="6" t="inlineStr">
        <is>
          <t>Kisan Credit Card</t>
        </is>
      </c>
      <c r="C7" s="7" t="inlineStr">
        <is>
          <t>Credit / Loan</t>
        </is>
      </c>
      <c r="D7" s="6" t="inlineStr">
        <is>
          <t>1998 (revised 2012)</t>
        </is>
      </c>
      <c r="E7" s="6" t="inlineStr">
        <is>
          <t>Revolving credit at 7% p.a. (effective 4% p.a. with 2% Govt subvention + 3% PRI for prompt repayment); up to ₹3 lakh without collateral</t>
        </is>
      </c>
      <c r="F7" s="6" t="inlineStr">
        <is>
          <t>Interest: 7% p.a. (reduced to 4% with subvention + PRI)</t>
        </is>
      </c>
      <c r="G7" s="6" t="inlineStr">
        <is>
          <t>All farmers — owner cultivators, tenant farmers, oral lessees, sharecroppers, SHGs/JLGs; Aadhaar mandatory for subvention</t>
        </is>
      </c>
      <c r="H7" s="6" t="inlineStr">
        <is>
          <t>Based on cropping pattern &amp; scale of finance by DLTC</t>
        </is>
      </c>
      <c r="I7" s="6" t="inlineStr">
        <is>
          <t>All crops including allied activities (dairy, fisheries, animal husbandry)</t>
        </is>
      </c>
      <c r="J7" s="6" t="inlineStr">
        <is>
          <t>Year-round</t>
        </is>
      </c>
      <c r="K7" s="6" t="inlineStr">
        <is>
          <t>No fixed deadline; apply anytime at bank</t>
        </is>
      </c>
      <c r="L7" s="6" t="inlineStr">
        <is>
          <t>Nearest nationalised bank / co-operative bank / RRB; or YONO app (SBI)</t>
        </is>
      </c>
      <c r="M7" s="6" t="inlineStr">
        <is>
          <t>jansamarth.in / bank portals</t>
        </is>
      </c>
      <c r="N7" s="6" t="inlineStr">
        <is>
          <t>pib.gov.in KCC Factsheet; cleartax.in KCC 2025</t>
        </is>
      </c>
    </row>
    <row r="8" ht="70" customHeight="1">
      <c r="A8" s="4" t="inlineStr">
        <is>
          <t>PM-KMY / PMKMY</t>
        </is>
      </c>
      <c r="B8" s="4" t="inlineStr">
        <is>
          <t>Pradhan Mantri Kisan Maandhan Yojana</t>
        </is>
      </c>
      <c r="C8" s="5" t="inlineStr">
        <is>
          <t>Pension / Social Security</t>
        </is>
      </c>
      <c r="D8" s="4" t="inlineStr">
        <is>
          <t>Sep 2019</t>
        </is>
      </c>
      <c r="E8" s="4" t="inlineStr">
        <is>
          <t>₹3,000/month pension after age 60; spouse gets 50% family pension on farmer's death</t>
        </is>
      </c>
      <c r="F8" s="4" t="inlineStr">
        <is>
          <t>₹55–₹200/month (age-based); Govt matches contribution equally</t>
        </is>
      </c>
      <c r="G8" s="4" t="inlineStr">
        <is>
          <t>Small &amp; marginal farmers aged 18–40 years; land ≤ 2 hectares; not enrolled in EPFO/NPS/ESIC; not income taxpayer</t>
        </is>
      </c>
      <c r="H8" s="4" t="inlineStr">
        <is>
          <t>≤ 2 hectares</t>
        </is>
      </c>
      <c r="I8" s="4" t="inlineStr">
        <is>
          <t>All (scheme is crop-independent)</t>
        </is>
      </c>
      <c r="J8" s="4" t="inlineStr">
        <is>
          <t>Year-round</t>
        </is>
      </c>
      <c r="K8" s="4" t="inlineStr">
        <is>
          <t>Open year-round; contribute till age 60</t>
        </is>
      </c>
      <c r="L8" s="4" t="inlineStr">
        <is>
          <t>maandhan.in / nearest CSC (VLE enrollment); Aadhaar + bank passbook required</t>
        </is>
      </c>
      <c r="M8" s="4" t="inlineStr">
        <is>
          <t>pmkmy.gov.in</t>
        </is>
      </c>
      <c r="N8" s="4" t="inlineStr">
        <is>
          <t>policybazaar.com PMKMY; manage.gov.in PMKMY PDF</t>
        </is>
      </c>
    </row>
    <row r="9" ht="70" customHeight="1">
      <c r="A9" s="6" t="inlineStr">
        <is>
          <t>PKVY</t>
        </is>
      </c>
      <c r="B9" s="6" t="inlineStr">
        <is>
          <t>Paramparagat Krishi Vikas Yojana</t>
        </is>
      </c>
      <c r="C9" s="7" t="inlineStr">
        <is>
          <t>Organic Farming</t>
        </is>
      </c>
      <c r="D9" s="6" t="inlineStr">
        <is>
          <t>2015</t>
        </is>
      </c>
      <c r="E9" s="6" t="inlineStr">
        <is>
          <t>₹50,000/hectare over 3 years (₹31,000 for organic inputs, ₹8,800 for value addition &amp; distribution, ₹3,000 for cluster formation)</t>
        </is>
      </c>
      <c r="F9" s="6" t="inlineStr">
        <is>
          <t>None (fully funded by Govt)</t>
        </is>
      </c>
      <c r="G9" s="6" t="inlineStr">
        <is>
          <t>Farmers interested in organic farming; must form cluster of min 20 farmers over 50 acres</t>
        </is>
      </c>
      <c r="H9" s="6" t="inlineStr">
        <is>
          <t>No individual limit; cluster must cover ≥ 50 acres</t>
        </is>
      </c>
      <c r="I9" s="6" t="inlineStr">
        <is>
          <t>All crops (organic farming across any crop)</t>
        </is>
      </c>
      <c r="J9" s="6" t="inlineStr">
        <is>
          <t>Year-round</t>
        </is>
      </c>
      <c r="K9" s="6" t="inlineStr">
        <is>
          <t>Apply through State Agriculture Department</t>
        </is>
      </c>
      <c r="L9" s="6" t="inlineStr">
        <is>
          <t>State agriculture department offices; vikaspedia.in PKVY page</t>
        </is>
      </c>
      <c r="M9" s="6" t="inlineStr">
        <is>
          <t>vikaspedia.in/agriculture/policies-and-schemes</t>
        </is>
      </c>
      <c r="N9" s="6" t="inlineStr">
        <is>
          <t>mahindrafarmmachinery.com Govt Schemes 2025</t>
        </is>
      </c>
    </row>
    <row r="10" ht="70" customHeight="1">
      <c r="A10" s="4" t="inlineStr">
        <is>
          <t>SMAM</t>
        </is>
      </c>
      <c r="B10" s="4" t="inlineStr">
        <is>
          <t>Sub-Mission on Agricultural Mechanization</t>
        </is>
      </c>
      <c r="C10" s="5" t="inlineStr">
        <is>
          <t>Equipment Subsidy</t>
        </is>
      </c>
      <c r="D10" s="4" t="inlineStr">
        <is>
          <t>2014–15</t>
        </is>
      </c>
      <c r="E10" s="4" t="inlineStr">
        <is>
          <t>40–50% subsidy on farm machinery (tractors, harvesters, seed drills, sprayers etc.); SC/ST &amp; small farmers get higher subsidy</t>
        </is>
      </c>
      <c r="F10" s="4" t="inlineStr">
        <is>
          <t>None (subsidy deducted from purchase cost)</t>
        </is>
      </c>
      <c r="G10" s="4" t="inlineStr">
        <is>
          <t>All farmers; priority to small/marginal, SC/ST farmers</t>
        </is>
      </c>
      <c r="H10" s="4" t="inlineStr">
        <is>
          <t>No land limit</t>
        </is>
      </c>
      <c r="I10" s="4" t="inlineStr">
        <is>
          <t>All crops (equipment for any crop)</t>
        </is>
      </c>
      <c r="J10" s="4" t="inlineStr">
        <is>
          <t>Year-round</t>
        </is>
      </c>
      <c r="K10" s="4" t="inlineStr">
        <is>
          <t>State-wise notification; apply through State Agri Dept</t>
        </is>
      </c>
      <c r="L10" s="4" t="inlineStr">
        <is>
          <t>State agriculture department / agrimachinery.nic.in portal</t>
        </is>
      </c>
      <c r="M10" s="4" t="inlineStr">
        <is>
          <t>agrimachinery.nic.in</t>
        </is>
      </c>
      <c r="N10" s="4" t="inlineStr">
        <is>
          <t>mahindrafarmmachinery.com Govt Schemes 2025</t>
        </is>
      </c>
    </row>
    <row r="11" ht="70" customHeight="1">
      <c r="A11" s="6" t="inlineStr">
        <is>
          <t>RKVY</t>
        </is>
      </c>
      <c r="B11" s="6" t="inlineStr">
        <is>
          <t>Rashtriya Krishi Vikas Yojana</t>
        </is>
      </c>
      <c r="C11" s="7" t="inlineStr">
        <is>
          <t>Infrastructure &amp; Grant</t>
        </is>
      </c>
      <c r="D11" s="6" t="inlineStr">
        <is>
          <t>2007</t>
        </is>
      </c>
      <c r="E11" s="6" t="inlineStr">
        <is>
          <t>Grants for farm mechanization, infrastructure, post-harvest management; amount varies by state &amp; project</t>
        </is>
      </c>
      <c r="F11" s="6" t="inlineStr">
        <is>
          <t>None (grant-based)</t>
        </is>
      </c>
      <c r="G11" s="6" t="inlineStr">
        <is>
          <t>Farmers and State Governments; project-based approval</t>
        </is>
      </c>
      <c r="H11" s="6" t="inlineStr">
        <is>
          <t>Varies by project</t>
        </is>
      </c>
      <c r="I11" s="6" t="inlineStr">
        <is>
          <t>All crops; allied sectors (horticulture, animal husbandry)</t>
        </is>
      </c>
      <c r="J11" s="6" t="inlineStr">
        <is>
          <t>Year-round (project-based)</t>
        </is>
      </c>
      <c r="K11" s="6" t="inlineStr">
        <is>
          <t>State agriculture department (project submission-based)</t>
        </is>
      </c>
      <c r="L11" s="6" t="inlineStr">
        <is>
          <t>State agriculture department; rkvy.nic.in</t>
        </is>
      </c>
      <c r="M11" s="6" t="inlineStr">
        <is>
          <t>rkvy.nic.in</t>
        </is>
      </c>
      <c r="N11" s="6" t="inlineStr">
        <is>
          <t>mahindrafarmmachinery.com Govt Schemes 2025</t>
        </is>
      </c>
    </row>
    <row r="12" ht="70" customHeight="1">
      <c r="A12" s="4" t="inlineStr">
        <is>
          <t>PMKSY</t>
        </is>
      </c>
      <c r="B12" s="4" t="inlineStr">
        <is>
          <t>Pradhan Mantri Krishi Sinchayee Yojana</t>
        </is>
      </c>
      <c r="C12" s="5" t="inlineStr">
        <is>
          <t>Irrigation Subsidy</t>
        </is>
      </c>
      <c r="D12" s="4" t="inlineStr">
        <is>
          <t>2015</t>
        </is>
      </c>
      <c r="E12" s="4" t="inlineStr">
        <is>
          <t>55% subsidy for small/marginal farmers; 45% for others on micro-irrigation equipment (drip/sprinkler)</t>
        </is>
      </c>
      <c r="F12" s="4" t="inlineStr">
        <is>
          <t>Farmer pays 45% (general) or 55% (small/marginal)</t>
        </is>
      </c>
      <c r="G12" s="4" t="inlineStr">
        <is>
          <t>All farmers; priority to water-stressed regions</t>
        </is>
      </c>
      <c r="H12" s="4" t="inlineStr">
        <is>
          <t>No land limit</t>
        </is>
      </c>
      <c r="I12" s="4" t="inlineStr">
        <is>
          <t>All crops (especially water-intensive crops — paddy, sugarcane, cotton)</t>
        </is>
      </c>
      <c r="J12" s="4" t="inlineStr">
        <is>
          <t>Year-round</t>
        </is>
      </c>
      <c r="K12" s="4" t="inlineStr">
        <is>
          <t>State agriculture / horticulture department</t>
        </is>
      </c>
      <c r="L12" s="4" t="inlineStr">
        <is>
          <t>pmksy.gov.in / State portals</t>
        </is>
      </c>
      <c r="M12" s="4" t="inlineStr">
        <is>
          <t>pmksy.gov.in</t>
        </is>
      </c>
      <c r="N12" s="4" t="inlineStr">
        <is>
          <t>allaboutagriculture.in Govt Schemes 2025-26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30" customWidth="1" min="4" max="4"/>
    <col width="38" customWidth="1" min="5" max="5"/>
    <col width="26" customWidth="1" min="6" max="6"/>
    <col width="26" customWidth="1" min="7" max="7"/>
    <col width="12" customWidth="1" min="8" max="8"/>
  </cols>
  <sheetData>
    <row r="1" ht="26" customHeight="1">
      <c r="A1" s="8" t="inlineStr">
        <is>
          <t>Quick Reference — KrishiVigyan AI Scheme Matcher</t>
        </is>
      </c>
    </row>
    <row r="2">
      <c r="A2" s="2" t="inlineStr">
        <is>
          <t>Use this sheet to map farmer profile → relevant schemes in your app</t>
        </is>
      </c>
    </row>
    <row r="3" ht="30" customHeight="1">
      <c r="A3" s="3" t="inlineStr">
        <is>
          <t>Scheme</t>
        </is>
      </c>
      <c r="B3" s="3" t="inlineStr">
        <is>
          <t>Category</t>
        </is>
      </c>
      <c r="C3" s="3" t="inlineStr">
        <is>
          <t>Triggers in KrishiVigyan AI</t>
        </is>
      </c>
      <c r="D3" s="3" t="inlineStr">
        <is>
          <t>Farmer Type</t>
        </is>
      </c>
      <c r="E3" s="3" t="inlineStr">
        <is>
          <t>Key Benefit</t>
        </is>
      </c>
      <c r="F3" s="3" t="inlineStr">
        <is>
          <t>Deadline Alert</t>
        </is>
      </c>
      <c r="G3" s="3" t="inlineStr">
        <is>
          <t>Portal Link</t>
        </is>
      </c>
      <c r="H3" s="3" t="inlineStr">
        <is>
          <t>Priority</t>
        </is>
      </c>
    </row>
    <row r="4" ht="55" customHeight="1">
      <c r="A4" s="4" t="inlineStr">
        <is>
          <t>PM-KISAN</t>
        </is>
      </c>
      <c r="B4" s="4" t="inlineStr">
        <is>
          <t>Income Support</t>
        </is>
      </c>
      <c r="C4" s="4" t="inlineStr">
        <is>
          <t>Farm registration complete; sowing date entered</t>
        </is>
      </c>
      <c r="D4" s="4" t="inlineStr">
        <is>
          <t>All landholding farmers</t>
        </is>
      </c>
      <c r="E4" s="4" t="inlineStr">
        <is>
          <t>₹6,000/year direct cash</t>
        </is>
      </c>
      <c r="F4" s="4" t="inlineStr">
        <is>
          <t>No deadline — open year-round</t>
        </is>
      </c>
      <c r="G4" s="4" t="inlineStr">
        <is>
          <t>pmkisan.gov.in</t>
        </is>
      </c>
      <c r="H4" s="9" t="inlineStr">
        <is>
          <t>HIGH</t>
        </is>
      </c>
    </row>
    <row r="5" ht="55" customHeight="1">
      <c r="A5" s="6" t="inlineStr">
        <is>
          <t>PMFBY</t>
        </is>
      </c>
      <c r="B5" s="6" t="inlineStr">
        <is>
          <t>Crop Insurance</t>
        </is>
      </c>
      <c r="C5" s="6" t="inlineStr">
        <is>
          <t>Crop registered; DAP &lt; 30; season = Kharif or Rabi; disease risk score &gt; 50</t>
        </is>
      </c>
      <c r="D5" s="6" t="inlineStr">
        <is>
          <t>All farmers (loanee &amp; non-loanee)</t>
        </is>
      </c>
      <c r="E5" s="6" t="inlineStr">
        <is>
          <t>Full yield-loss coverage at 2% / 1.5% premium</t>
        </is>
      </c>
      <c r="F5" s="6" t="inlineStr">
        <is>
          <t>Kharif: Jul 31 | Rabi: Dec 31</t>
        </is>
      </c>
      <c r="G5" s="6" t="inlineStr">
        <is>
          <t>pmfby.gov.in</t>
        </is>
      </c>
      <c r="H5" s="10" t="inlineStr">
        <is>
          <t>HIGH</t>
        </is>
      </c>
    </row>
    <row r="6" ht="55" customHeight="1">
      <c r="A6" s="4" t="inlineStr">
        <is>
          <t>RWBCIS</t>
        </is>
      </c>
      <c r="B6" s="4" t="inlineStr">
        <is>
          <t>Crop Insurance</t>
        </is>
      </c>
      <c r="C6" s="4" t="inlineStr">
        <is>
          <t>Weather risk score HIGH; crop in notified area</t>
        </is>
      </c>
      <c r="D6" s="4" t="inlineStr">
        <is>
          <t>All farmers</t>
        </is>
      </c>
      <c r="E6" s="4" t="inlineStr">
        <is>
          <t>Weather index-based payout</t>
        </is>
      </c>
      <c r="F6" s="4" t="inlineStr">
        <is>
          <t>Kharif: Jul 31 | Rabi: Dec 31</t>
        </is>
      </c>
      <c r="G6" s="4" t="inlineStr">
        <is>
          <t>pmfby.gov.in</t>
        </is>
      </c>
      <c r="H6" s="9" t="inlineStr">
        <is>
          <t>HIGH</t>
        </is>
      </c>
    </row>
    <row r="7" ht="55" customHeight="1">
      <c r="A7" s="6" t="inlineStr">
        <is>
          <t>KCC</t>
        </is>
      </c>
      <c r="B7" s="6" t="inlineStr">
        <is>
          <t>Credit / Loan</t>
        </is>
      </c>
      <c r="C7" s="6" t="inlineStr">
        <is>
          <t>Farm registered; seed/input purchase needed; any crop</t>
        </is>
      </c>
      <c r="D7" s="6" t="inlineStr">
        <is>
          <t>All farmers incl. tenants &amp; sharecroppers</t>
        </is>
      </c>
      <c r="E7" s="6" t="inlineStr">
        <is>
          <t>Credit at 4% effective interest rate</t>
        </is>
      </c>
      <c r="F7" s="6" t="inlineStr">
        <is>
          <t>No deadline</t>
        </is>
      </c>
      <c r="G7" s="6" t="inlineStr">
        <is>
          <t>jansamarth.in</t>
        </is>
      </c>
      <c r="H7" s="10" t="inlineStr">
        <is>
          <t>HIGH</t>
        </is>
      </c>
    </row>
    <row r="8" ht="55" customHeight="1">
      <c r="A8" s="4" t="inlineStr">
        <is>
          <t>PM-KMY</t>
        </is>
      </c>
      <c r="B8" s="4" t="inlineStr">
        <is>
          <t>Pension</t>
        </is>
      </c>
      <c r="C8" s="4" t="inlineStr">
        <is>
          <t>Farmer age 18–40; land ≤ 2 ha entered in digital twin</t>
        </is>
      </c>
      <c r="D8" s="4" t="inlineStr">
        <is>
          <t>Small &amp; marginal farmers only</t>
        </is>
      </c>
      <c r="E8" s="4" t="inlineStr">
        <is>
          <t>₹3,000/month pension after 60</t>
        </is>
      </c>
      <c r="F8" s="4" t="inlineStr">
        <is>
          <t>No deadline — open year-round</t>
        </is>
      </c>
      <c r="G8" s="4" t="inlineStr">
        <is>
          <t>pmkmy.gov.in</t>
        </is>
      </c>
      <c r="H8" s="11" t="inlineStr">
        <is>
          <t>MEDIUM</t>
        </is>
      </c>
    </row>
    <row r="9" ht="55" customHeight="1">
      <c r="A9" s="6" t="inlineStr">
        <is>
          <t>PKVY</t>
        </is>
      </c>
      <c r="B9" s="6" t="inlineStr">
        <is>
          <t>Organic Farming</t>
        </is>
      </c>
      <c r="C9" s="6" t="inlineStr">
        <is>
          <t>Farmer selects 'organic' crop practice; cluster of 20+ farmers possible</t>
        </is>
      </c>
      <c r="D9" s="6" t="inlineStr">
        <is>
          <t>All farmers (cluster of ≥ 20)</t>
        </is>
      </c>
      <c r="E9" s="6" t="inlineStr">
        <is>
          <t>₹50,000/hectare subsidy over 3 years</t>
        </is>
      </c>
      <c r="F9" s="6" t="inlineStr">
        <is>
          <t>State-notified; check state dept</t>
        </is>
      </c>
      <c r="G9" s="6" t="inlineStr">
        <is>
          <t>vikaspedia.in</t>
        </is>
      </c>
      <c r="H9" s="12" t="inlineStr">
        <is>
          <t>MEDIUM</t>
        </is>
      </c>
    </row>
    <row r="10" ht="55" customHeight="1">
      <c r="A10" s="4" t="inlineStr">
        <is>
          <t>SMAM</t>
        </is>
      </c>
      <c r="B10" s="4" t="inlineStr">
        <is>
          <t>Equipment Subsidy</t>
        </is>
      </c>
      <c r="C10" s="4" t="inlineStr">
        <is>
          <t>Farmer requests machinery info; new season starts</t>
        </is>
      </c>
      <c r="D10" s="4" t="inlineStr">
        <is>
          <t>All (priority SC/ST &amp; small farmers)</t>
        </is>
      </c>
      <c r="E10" s="4" t="inlineStr">
        <is>
          <t>40–50% subsidy on farm equipment</t>
        </is>
      </c>
      <c r="F10" s="4" t="inlineStr">
        <is>
          <t>State-notified</t>
        </is>
      </c>
      <c r="G10" s="4" t="inlineStr">
        <is>
          <t>agrimachinery.nic.in</t>
        </is>
      </c>
      <c r="H10" s="11" t="inlineStr">
        <is>
          <t>MEDIUM</t>
        </is>
      </c>
    </row>
    <row r="11" ht="55" customHeight="1">
      <c r="A11" s="6" t="inlineStr">
        <is>
          <t>RKVY</t>
        </is>
      </c>
      <c r="B11" s="6" t="inlineStr">
        <is>
          <t>Infrastructure Grant</t>
        </is>
      </c>
      <c r="C11" s="6" t="inlineStr">
        <is>
          <t>Farmer asks about storage / processing / infrastructure</t>
        </is>
      </c>
      <c r="D11" s="6" t="inlineStr">
        <is>
          <t>All farmers</t>
        </is>
      </c>
      <c r="E11" s="6" t="inlineStr">
        <is>
          <t>Grants for mechanization &amp; infrastructure</t>
        </is>
      </c>
      <c r="F11" s="6" t="inlineStr">
        <is>
          <t>Project-based; state dept</t>
        </is>
      </c>
      <c r="G11" s="6" t="inlineStr">
        <is>
          <t>rkvy.nic.in</t>
        </is>
      </c>
      <c r="H11" s="13" t="inlineStr">
        <is>
          <t>LOW</t>
        </is>
      </c>
    </row>
    <row r="12" ht="55" customHeight="1">
      <c r="A12" s="4" t="inlineStr">
        <is>
          <t>PMKSY</t>
        </is>
      </c>
      <c r="B12" s="4" t="inlineStr">
        <is>
          <t>Irrigation</t>
        </is>
      </c>
      <c r="C12" s="4" t="inlineStr">
        <is>
          <t>Crop is water-intensive (paddy, sugarcane, cotton); irrigation module opened</t>
        </is>
      </c>
      <c r="D12" s="4" t="inlineStr">
        <is>
          <t>All farmers</t>
        </is>
      </c>
      <c r="E12" s="4" t="inlineStr">
        <is>
          <t>55% subsidy on drip/sprinkler systems</t>
        </is>
      </c>
      <c r="F12" s="4" t="inlineStr">
        <is>
          <t>State-notified</t>
        </is>
      </c>
      <c r="G12" s="4" t="inlineStr">
        <is>
          <t>pmksy.gov.in</t>
        </is>
      </c>
      <c r="H12" s="11" t="inlineStr">
        <is>
          <t>MEDIUM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6" customWidth="1" min="4" max="4"/>
    <col width="22" customWidth="1" min="5" max="5"/>
    <col width="34" customWidth="1" min="6" max="6"/>
  </cols>
  <sheetData>
    <row r="1" ht="26" customHeight="1">
      <c r="A1" s="8" t="inlineStr">
        <is>
          <t>PMFBY Premium Calculator — Farmer-Facing Reference</t>
        </is>
      </c>
    </row>
    <row r="2">
      <c r="A2" s="2" t="inlineStr">
        <is>
          <t>Premium = Sum Insured (SI) × Premium Rate. Government pays balance of actuarial premium.</t>
        </is>
      </c>
    </row>
    <row r="3" ht="28" customHeight="1">
      <c r="A3" s="3" t="inlineStr">
        <is>
          <t>Crop Type</t>
        </is>
      </c>
      <c r="B3" s="3" t="inlineStr">
        <is>
          <t>Season</t>
        </is>
      </c>
      <c r="C3" s="3" t="inlineStr">
        <is>
          <t>Farmer Premium Rate</t>
        </is>
      </c>
      <c r="D3" s="3" t="inlineStr">
        <is>
          <t>Example SI (₹/hectare)</t>
        </is>
      </c>
      <c r="E3" s="3" t="inlineStr">
        <is>
          <t>Farmer Pays (₹)</t>
        </is>
      </c>
      <c r="F3" s="3" t="inlineStr">
        <is>
          <t>Govt Subsidy Covers</t>
        </is>
      </c>
    </row>
    <row r="4" ht="22" customHeight="1">
      <c r="A4" s="14" t="inlineStr">
        <is>
          <t>Rice / Paddy</t>
        </is>
      </c>
      <c r="B4" s="14" t="inlineStr">
        <is>
          <t>Kharif</t>
        </is>
      </c>
      <c r="C4" s="14" t="inlineStr">
        <is>
          <t>2%</t>
        </is>
      </c>
      <c r="D4" s="14" t="inlineStr">
        <is>
          <t>₹50,000</t>
        </is>
      </c>
      <c r="E4" s="15">
        <f>D4*0.02</f>
        <v/>
      </c>
      <c r="F4" s="15" t="inlineStr">
        <is>
          <t>Balance (actuarial - 2%)</t>
        </is>
      </c>
    </row>
    <row r="5" ht="22" customHeight="1">
      <c r="A5" s="16" t="inlineStr">
        <is>
          <t>Wheat</t>
        </is>
      </c>
      <c r="B5" s="16" t="inlineStr">
        <is>
          <t>Rabi</t>
        </is>
      </c>
      <c r="C5" s="16" t="inlineStr">
        <is>
          <t>1.5%</t>
        </is>
      </c>
      <c r="D5" s="16" t="inlineStr">
        <is>
          <t>₹40,000</t>
        </is>
      </c>
      <c r="E5" s="17">
        <f>D5*0.015</f>
        <v/>
      </c>
      <c r="F5" s="17" t="inlineStr">
        <is>
          <t>Balance (actuarial - 1.5%)</t>
        </is>
      </c>
    </row>
    <row r="6" ht="22" customHeight="1">
      <c r="A6" s="14" t="inlineStr">
        <is>
          <t>Maize</t>
        </is>
      </c>
      <c r="B6" s="14" t="inlineStr">
        <is>
          <t>Kharif</t>
        </is>
      </c>
      <c r="C6" s="14" t="inlineStr">
        <is>
          <t>2%</t>
        </is>
      </c>
      <c r="D6" s="14" t="inlineStr">
        <is>
          <t>₹35,000</t>
        </is>
      </c>
      <c r="E6" s="15">
        <f>D6*0.02</f>
        <v/>
      </c>
      <c r="F6" s="15" t="inlineStr">
        <is>
          <t>Balance (actuarial - 2%)</t>
        </is>
      </c>
    </row>
    <row r="7" ht="22" customHeight="1">
      <c r="A7" s="16" t="inlineStr">
        <is>
          <t>Soybean</t>
        </is>
      </c>
      <c r="B7" s="16" t="inlineStr">
        <is>
          <t>Kharif</t>
        </is>
      </c>
      <c r="C7" s="16" t="inlineStr">
        <is>
          <t>2%</t>
        </is>
      </c>
      <c r="D7" s="16" t="inlineStr">
        <is>
          <t>₹45,000</t>
        </is>
      </c>
      <c r="E7" s="17">
        <f>D7*0.02</f>
        <v/>
      </c>
      <c r="F7" s="17" t="inlineStr">
        <is>
          <t>Balance (actuarial - 2%)</t>
        </is>
      </c>
    </row>
    <row r="8" ht="22" customHeight="1">
      <c r="A8" s="14" t="inlineStr">
        <is>
          <t>Mustard / Rapeseed</t>
        </is>
      </c>
      <c r="B8" s="14" t="inlineStr">
        <is>
          <t>Rabi</t>
        </is>
      </c>
      <c r="C8" s="14" t="inlineStr">
        <is>
          <t>1.5%</t>
        </is>
      </c>
      <c r="D8" s="14" t="inlineStr">
        <is>
          <t>₹30,000</t>
        </is>
      </c>
      <c r="E8" s="15">
        <f>D8*0.015</f>
        <v/>
      </c>
      <c r="F8" s="15" t="inlineStr">
        <is>
          <t>Balance (actuarial - 1.5%)</t>
        </is>
      </c>
    </row>
    <row r="9" ht="22" customHeight="1">
      <c r="A9" s="16" t="inlineStr">
        <is>
          <t>Sugarcane</t>
        </is>
      </c>
      <c r="B9" s="16" t="inlineStr">
        <is>
          <t>Annual</t>
        </is>
      </c>
      <c r="C9" s="16" t="inlineStr">
        <is>
          <t>5%</t>
        </is>
      </c>
      <c r="D9" s="16" t="inlineStr">
        <is>
          <t>₹75,000</t>
        </is>
      </c>
      <c r="E9" s="17">
        <f>D9*0.05</f>
        <v/>
      </c>
      <c r="F9" s="17" t="inlineStr">
        <is>
          <t>Balance (actuarial - 5%)</t>
        </is>
      </c>
    </row>
    <row r="10" ht="22" customHeight="1">
      <c r="A10" s="14" t="inlineStr">
        <is>
          <t>Cotton</t>
        </is>
      </c>
      <c r="B10" s="14" t="inlineStr">
        <is>
          <t>Kharif / Commercial</t>
        </is>
      </c>
      <c r="C10" s="14" t="inlineStr">
        <is>
          <t>5%</t>
        </is>
      </c>
      <c r="D10" s="14" t="inlineStr">
        <is>
          <t>₹60,000</t>
        </is>
      </c>
      <c r="E10" s="15">
        <f>D10*0.05</f>
        <v/>
      </c>
      <c r="F10" s="15" t="inlineStr">
        <is>
          <t>Balance (actuarial - 5%)</t>
        </is>
      </c>
    </row>
    <row r="11" ht="22" customHeight="1">
      <c r="A11" s="16" t="inlineStr">
        <is>
          <t>Banana</t>
        </is>
      </c>
      <c r="B11" s="16" t="inlineStr">
        <is>
          <t>Annual / Horticulture</t>
        </is>
      </c>
      <c r="C11" s="16" t="inlineStr">
        <is>
          <t>5%</t>
        </is>
      </c>
      <c r="D11" s="16" t="inlineStr">
        <is>
          <t>₹80,000</t>
        </is>
      </c>
      <c r="E11" s="17">
        <f>D11*0.05</f>
        <v/>
      </c>
      <c r="F11" s="17" t="inlineStr">
        <is>
          <t>Balance (actuarial - 5%)</t>
        </is>
      </c>
    </row>
    <row r="12" ht="22" customHeight="1">
      <c r="A12" s="14" t="inlineStr">
        <is>
          <t>Tomato</t>
        </is>
      </c>
      <c r="B12" s="14" t="inlineStr">
        <is>
          <t>Annual / Horticulture</t>
        </is>
      </c>
      <c r="C12" s="14" t="inlineStr">
        <is>
          <t>5%</t>
        </is>
      </c>
      <c r="D12" s="14" t="inlineStr">
        <is>
          <t>₹55,000</t>
        </is>
      </c>
      <c r="E12" s="15">
        <f>D12*0.05</f>
        <v/>
      </c>
      <c r="F12" s="15" t="inlineStr">
        <is>
          <t>Balance (actuarial - 5%)</t>
        </is>
      </c>
    </row>
    <row r="13" ht="22" customHeight="1">
      <c r="A13" s="16" t="inlineStr">
        <is>
          <t>Onion</t>
        </is>
      </c>
      <c r="B13" s="16" t="inlineStr">
        <is>
          <t>Rabi / Horticulture</t>
        </is>
      </c>
      <c r="C13" s="16" t="inlineStr">
        <is>
          <t>5%</t>
        </is>
      </c>
      <c r="D13" s="16" t="inlineStr">
        <is>
          <t>₹50,000</t>
        </is>
      </c>
      <c r="E13" s="17">
        <f>D13*0.05</f>
        <v/>
      </c>
      <c r="F13" s="17" t="inlineStr">
        <is>
          <t>Balance (actuarial - 5%)</t>
        </is>
      </c>
    </row>
    <row r="14" ht="22" customHeight="1">
      <c r="A14" s="14" t="inlineStr">
        <is>
          <t>Potato</t>
        </is>
      </c>
      <c r="B14" s="14" t="inlineStr">
        <is>
          <t>Rabi / Horticulture</t>
        </is>
      </c>
      <c r="C14" s="14" t="inlineStr">
        <is>
          <t>5%</t>
        </is>
      </c>
      <c r="D14" s="14" t="inlineStr">
        <is>
          <t>₹60,000</t>
        </is>
      </c>
      <c r="E14" s="15">
        <f>D14*0.05</f>
        <v/>
      </c>
      <c r="F14" s="15" t="inlineStr">
        <is>
          <t>Balance (actuarial - 5%)</t>
        </is>
      </c>
    </row>
    <row r="15" ht="22" customHeight="1">
      <c r="A15" s="16" t="inlineStr">
        <is>
          <t>Groundnut</t>
        </is>
      </c>
      <c r="B15" s="16" t="inlineStr">
        <is>
          <t>Kharif</t>
        </is>
      </c>
      <c r="C15" s="16" t="inlineStr">
        <is>
          <t>2%</t>
        </is>
      </c>
      <c r="D15" s="16" t="inlineStr">
        <is>
          <t>₹40,000</t>
        </is>
      </c>
      <c r="E15" s="17">
        <f>D15*0.02</f>
        <v/>
      </c>
      <c r="F15" s="17" t="inlineStr">
        <is>
          <t>Balance (actuarial - 2%)</t>
        </is>
      </c>
    </row>
    <row r="16" ht="22" customHeight="1">
      <c r="A16" s="14" t="inlineStr">
        <is>
          <t>Chilli</t>
        </is>
      </c>
      <c r="B16" s="14" t="inlineStr">
        <is>
          <t>Kharif / Commercial</t>
        </is>
      </c>
      <c r="C16" s="14" t="inlineStr">
        <is>
          <t>5%</t>
        </is>
      </c>
      <c r="D16" s="14" t="inlineStr">
        <is>
          <t>₹65,000</t>
        </is>
      </c>
      <c r="E16" s="15">
        <f>D16*0.05</f>
        <v/>
      </c>
      <c r="F16" s="15" t="inlineStr">
        <is>
          <t>Balance (actuarial - 5%)</t>
        </is>
      </c>
    </row>
    <row r="18">
      <c r="A18" s="18" t="inlineStr">
        <is>
          <t>Source: pmfby.gov.in official premium guidelines; PIB press release Feb 2025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2026-05-14T18:23:37Z</dcterms:created>
  <dcterms:modified xmlns:dcterms="http://purl.org/dc/terms/" xmlns:xsi="http://www.w3.org/2001/XMLSchema-instance" xsi:type="dcterms:W3CDTF">2026-05-14T18:23:37Z</dcterms:modified>
</cp:coreProperties>
</file>